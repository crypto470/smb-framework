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hit.Gulyan\Downloads\"/>
    </mc:Choice>
  </mc:AlternateContent>
  <xr:revisionPtr revIDLastSave="0" documentId="13_ncr:1_{D304D2A2-66F0-4CE4-B3BF-18BD801B5571}" xr6:coauthVersionLast="47" xr6:coauthVersionMax="47" xr10:uidLastSave="{00000000-0000-0000-0000-000000000000}"/>
  <bookViews>
    <workbookView xWindow="-108" yWindow="-108" windowWidth="23256" windowHeight="12456" activeTab="1" xr2:uid="{44704E7A-ABD4-44C8-BBD2-58E73FF6B655}"/>
  </bookViews>
  <sheets>
    <sheet name="Sheet1" sheetId="1" r:id="rId1"/>
    <sheet name="150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7" i="2" l="1"/>
  <c r="C17" i="2"/>
  <c r="B17" i="1"/>
  <c r="C17" i="1"/>
  <c r="C16" i="1"/>
  <c r="C15" i="1"/>
  <c r="C14" i="1"/>
  <c r="C13" i="1"/>
  <c r="C12" i="1"/>
</calcChain>
</file>

<file path=xl/sharedStrings.xml><?xml version="1.0" encoding="utf-8"?>
<sst xmlns="http://schemas.openxmlformats.org/spreadsheetml/2006/main" count="121" uniqueCount="74">
  <si>
    <t>Category</t>
  </si>
  <si>
    <t>CapEx (one‑time)</t>
  </si>
  <si>
    <t>Monthly OpEx</t>
  </si>
  <si>
    <t>Basis / Notes</t>
  </si>
  <si>
    <t>NGFW + branch gear</t>
  </si>
  <si>
    <t>–</t>
  </si>
  <si>
    <t>FortiGate/UDM SE class for HQ + small branch</t>
  </si>
  <si>
    <t>$22 × 50; includes Intune + Defender for Business</t>
  </si>
  <si>
    <t>Azure Front Door + WAF</t>
  </si>
  <si>
    <t>Low/medium traffic e‑commerce (rules + data transfer)</t>
  </si>
  <si>
    <t>Microsoft Sentinel</t>
  </si>
  <si>
    <t>~10 GB/day effective, commitment or benefit pricing</t>
  </si>
  <si>
    <t>Azure Backup (App/DB)</t>
  </si>
  <si>
    <t>Vault + LTR; small DB + app artifacts; WORM tier</t>
  </si>
  <si>
    <t>M365 Backup (sep tenant)</t>
  </si>
  <si>
    <t>SMB tier for 50 users (mail/OD/SP)</t>
  </si>
  <si>
    <t>Ticketing/Alerting (Jira/PD/Teams apps)</t>
  </si>
  <si>
    <t>Basic plan for routing/on‑call</t>
  </si>
  <si>
    <t>SaaS admin consoles</t>
  </si>
  <si>
    <t>Least Privilege Model $4/user/ month → ~$200</t>
  </si>
  <si>
    <t>IdP Audit Logs + Power BI</t>
  </si>
  <si>
    <t>Compliance
Evidence &amp; Audit Logs ~$0-50/month</t>
  </si>
  <si>
    <t>IdP reporting</t>
  </si>
  <si>
    <t>Continuous Monitoring ~$10/month</t>
  </si>
  <si>
    <t>Microsoft 365 Business Premium (Outlook, Teams, OneDrive,Sharepoint, MS Loop, MS Entra ID, Intune, MS Defender, MS Pureview)</t>
  </si>
  <si>
    <r>
      <t>FortiGate</t>
    </r>
    <r>
      <rPr>
        <sz val="11"/>
        <color theme="1"/>
        <rFont val="Calibri"/>
        <family val="2"/>
      </rPr>
      <t xml:space="preserve"> </t>
    </r>
  </si>
  <si>
    <t>Cisco Umbrella</t>
  </si>
  <si>
    <t>VPN (Virtual Private Network)</t>
  </si>
  <si>
    <t xml:space="preserve"> Enterprise firewall and VPN device providing network security and threat prevention.</t>
  </si>
  <si>
    <t>Cloud-based DNS and web security platform that blocks malicious destinations before connections are made.</t>
  </si>
  <si>
    <t>Secure remote network access for users.</t>
  </si>
  <si>
    <r>
      <t>Veeam</t>
    </r>
    <r>
      <rPr>
        <sz val="11"/>
        <color theme="1"/>
        <rFont val="Calibri"/>
        <family val="2"/>
      </rPr>
      <t xml:space="preserve"> </t>
    </r>
  </si>
  <si>
    <t xml:space="preserve"> Backup and disaster recovery solution that integrates with cloud storage (including Azure, OneDrive).</t>
  </si>
  <si>
    <r>
      <t>KnowBe4</t>
    </r>
    <r>
      <rPr>
        <sz val="11"/>
        <color theme="1"/>
        <rFont val="Calibri"/>
        <family val="2"/>
      </rPr>
      <t xml:space="preserve"> </t>
    </r>
  </si>
  <si>
    <t>Security awareness training and phishing simulation platform.</t>
  </si>
  <si>
    <t>Microsoft 365 Business Premium: 1,100 → 700</t>
  </si>
  <si>
    <t>How: Mix licences — keep Business Premium for staff that require Intune/Defender (IT, Ops, Finance, management ~30 users) and move ~20 low-risk users (warehouse, basic support) to Business Standard or shared kiosks.</t>
  </si>
  <si>
    <t>Savings: $400 / month.</t>
  </si>
  <si>
    <t>Tradeoff: Some users lose Intune/Defender features — acceptable for low-risk roles.</t>
  </si>
  <si>
    <t>Azure Front Door + WAF: 120 → 20</t>
  </si>
  <si>
    <t>How: Replace full Azure Front Door WAF plan with cheaper CDN/WAF solution (Cloudflare Pro) or a minimal WAF policy tier for low traffic.</t>
  </si>
  <si>
    <t>Savings: $100 / month.</t>
  </si>
  <si>
    <t>Tradeoff: Slight differences in integration; still protects public app.</t>
  </si>
  <si>
    <t>Microsoft Sentinel: 250 → 150</t>
  </si>
  <si>
    <t>How: Tune ingestion (only security-relevant logs), set retention policy carefully, use commitment tier if available.</t>
  </si>
  <si>
    <t>Tradeoff: Slightly less raw log retention; keep critical sources.</t>
  </si>
  <si>
    <t>Azure Backup: 40 → 30</t>
  </si>
  <si>
    <t>How: Optimize retention tier and exclude non-critical snapshots.</t>
  </si>
  <si>
    <t>Savings: $10 / month.</t>
  </si>
  <si>
    <t>M365 Backup (sep tenant): 60 → 0</t>
  </si>
  <si>
    <t>How: Rely on native OneDrive/SharePoint retention + conservative retention policies instead of separate paid tenant backup (short term).</t>
  </si>
  <si>
    <t>Savings: $60 / month.</t>
  </si>
  <si>
    <t>Tradeoff: Less robust recovery for tenant-level issues — acceptable for budget phase.</t>
  </si>
  <si>
    <t>Ticketing/Alerting: 100 → 30</t>
  </si>
  <si>
    <t>How: Use existing Microsoft Teams + Power Automate or free JIRA tier instead of paid PagerDuty/SaaS premium.</t>
  </si>
  <si>
    <t>Savings: $70 / month.</t>
  </si>
  <si>
    <t>SaaS admin consoles: 200 → 80</t>
  </si>
  <si>
    <t>How: Consolidate admin functions, remove redundant monitoring SaaS, rely on Entra/Sentinel + logging.</t>
  </si>
  <si>
    <t>Savings: $120 / month.</t>
  </si>
  <si>
    <t>FortiGate OpEx: 250 → 50</t>
  </si>
  <si>
    <t>How: Replace expensive managed FortiGate subscription with simpler UTM/support plan or one-time CapEx appliance + low OpEx support, or reduce managed service level.</t>
  </si>
  <si>
    <t>Savings: $200 / month.</t>
  </si>
  <si>
    <t>Tradeoff: Loss of some managed features — mitigated by Sentinel + Defender.</t>
  </si>
  <si>
    <t>Cisco Umbrella: 150 → 0</t>
  </si>
  <si>
    <t>How: Remove Umbrella subscription; use Defender for Office 365 + built-in DNS filtering or free Cloudflare gateway for basic protection.</t>
  </si>
  <si>
    <t>Savings: $150 / month.</t>
  </si>
  <si>
    <t>VPN: 80 → 50</t>
  </si>
  <si>
    <t>How: Negotiate a lower plan or move to a bundled Microsoft solution (Conditional Access + Entra + secure remote access) for fewer per-user fees.</t>
  </si>
  <si>
    <t>Savings: $30 / month.</t>
  </si>
  <si>
    <t>Veeam: 150 → 50</t>
  </si>
  <si>
    <t>How: Replace Veeam OpEx with Azure-native backup or a cheaper backup tier for SMB (or consolidate with Azure Backup).</t>
  </si>
  <si>
    <t>KnowBe4: 100 → 50</t>
  </si>
  <si>
    <t>How: Keep awareness program but use limited cadence or cheaper plan (or Microsoft Attack Simulator for baseline).</t>
  </si>
  <si>
    <t>Savings: $50 /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</si>
</sst>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 x14ac:knownFonts="1">
    <font>
      <sz val="11"/>
      <color theme="1"/>
      <name val="Calibri"/>
      <family val="2"/>
      <scheme val="minor"/>
    </font>
    <font>
      <sz val="10"/>
      <color rgb="FF1F2328"/>
      <name val="Segoe UI"/>
      <family val="2"/>
    </font>
    <font>
      <sz val="10"/>
      <color rgb="FF1F2328"/>
      <name val="Segoe UI"/>
      <family val="2"/>
    </font>
    <font>
      <sz val="11"/>
      <color theme="1"/>
      <name val="Calibri"/>
      <family val="2"/>
    </font>
    <font>
      <b/>
      <sz val="10"/>
      <color rgb="FF1F232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 indent="1"/>
    </xf>
    <xf numFmtId="0" fontId="1" fillId="2" borderId="0" xfId="0" applyFont="1" applyFill="1" applyAlignment="1">
      <alignment horizontal="left" vertical="center" wrapText="1" indent="1"/>
    </xf>
    <xf numFmtId="6" fontId="1" fillId="2" borderId="0" xfId="0" applyNumberFormat="1" applyFont="1" applyFill="1" applyAlignment="1">
      <alignment horizontal="right" vertical="center" wrapText="1" indent="1"/>
    </xf>
    <xf numFmtId="0" fontId="2" fillId="2" borderId="0" xfId="0" applyFont="1" applyFill="1" applyAlignment="1">
      <alignment horizontal="righ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1" fillId="3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right" vertical="center" wrapText="1" indent="1"/>
    </xf>
    <xf numFmtId="6" fontId="1" fillId="3" borderId="0" xfId="0" applyNumberFormat="1" applyFont="1" applyFill="1" applyAlignment="1">
      <alignment horizontal="right" vertical="center" wrapText="1" indent="1"/>
    </xf>
    <xf numFmtId="0" fontId="2" fillId="3" borderId="0" xfId="0" applyFont="1" applyFill="1" applyAlignment="1">
      <alignment horizontal="left" vertical="center" wrapText="1" indent="1"/>
    </xf>
    <xf numFmtId="0" fontId="0" fillId="0" borderId="0" xfId="0" applyAlignment="1">
      <alignment horizontal="left" vertical="top" wrapText="1"/>
    </xf>
    <xf numFmtId="0" fontId="0" fillId="4" borderId="0" xfId="0" applyFill="1"/>
    <xf numFmtId="0" fontId="3" fillId="0" borderId="0" xfId="0" applyFont="1" applyAlignment="1">
      <alignment wrapText="1"/>
    </xf>
    <xf numFmtId="0" fontId="3" fillId="0" borderId="0" xfId="0" applyFont="1"/>
    <xf numFmtId="0" fontId="0" fillId="0" borderId="0" xfId="0" applyFill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right" vertical="center" wrapText="1" indent="1"/>
    </xf>
    <xf numFmtId="0" fontId="1" fillId="0" borderId="1" xfId="0" applyFont="1" applyFill="1" applyBorder="1" applyAlignment="1">
      <alignment horizontal="left" vertical="center" wrapText="1" indent="1"/>
    </xf>
    <xf numFmtId="6" fontId="1" fillId="0" borderId="1" xfId="0" applyNumberFormat="1" applyFont="1" applyFill="1" applyBorder="1" applyAlignment="1">
      <alignment horizontal="right" vertical="center" wrapText="1" indent="1"/>
    </xf>
    <xf numFmtId="0" fontId="2" fillId="0" borderId="1" xfId="0" applyFont="1" applyFill="1" applyBorder="1" applyAlignment="1">
      <alignment horizontal="right" vertical="center" wrapText="1" indent="1"/>
    </xf>
    <xf numFmtId="0" fontId="2" fillId="0" borderId="1" xfId="0" applyFont="1" applyFill="1" applyBorder="1" applyAlignment="1">
      <alignment horizontal="left" vertical="center" wrapText="1" indent="1"/>
    </xf>
    <xf numFmtId="0" fontId="0" fillId="0" borderId="1" xfId="0" applyFill="1" applyBorder="1" applyAlignment="1">
      <alignment horizontal="left" vertical="top" wrapText="1"/>
    </xf>
    <xf numFmtId="0" fontId="3" fillId="0" borderId="1" xfId="0" applyFont="1" applyFill="1" applyBorder="1" applyAlignment="1">
      <alignment wrapText="1"/>
    </xf>
    <xf numFmtId="0" fontId="0" fillId="0" borderId="1" xfId="0" applyFill="1" applyBorder="1"/>
    <xf numFmtId="6" fontId="4" fillId="0" borderId="1" xfId="0" applyNumberFormat="1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FE5FC-701A-4687-83ED-561831954506}">
  <dimension ref="A1:E17"/>
  <sheetViews>
    <sheetView topLeftCell="A13" zoomScaleNormal="100" workbookViewId="0">
      <selection activeCell="C13" sqref="C13"/>
    </sheetView>
  </sheetViews>
  <sheetFormatPr defaultRowHeight="14.4" x14ac:dyDescent="0.3"/>
  <cols>
    <col min="1" max="1" width="30.33203125" customWidth="1"/>
    <col min="2" max="2" width="19" bestFit="1" customWidth="1"/>
    <col min="3" max="3" width="19.21875" bestFit="1" customWidth="1"/>
    <col min="4" max="4" width="23.44140625" bestFit="1" customWidth="1"/>
  </cols>
  <sheetData>
    <row r="1" spans="1:5" ht="15" x14ac:dyDescent="0.3">
      <c r="A1" s="1" t="s">
        <v>0</v>
      </c>
      <c r="B1" s="2" t="s">
        <v>1</v>
      </c>
      <c r="C1" s="2" t="s">
        <v>2</v>
      </c>
      <c r="D1" s="1" t="s">
        <v>3</v>
      </c>
    </row>
    <row r="2" spans="1:5" ht="30" x14ac:dyDescent="0.3">
      <c r="A2" s="3" t="s">
        <v>4</v>
      </c>
      <c r="B2" s="4">
        <v>1500</v>
      </c>
      <c r="C2" s="5" t="s">
        <v>5</v>
      </c>
      <c r="D2" s="6" t="s">
        <v>6</v>
      </c>
    </row>
    <row r="3" spans="1:5" ht="75" x14ac:dyDescent="0.3">
      <c r="A3" s="7" t="s">
        <v>24</v>
      </c>
      <c r="B3" s="9"/>
      <c r="C3" s="9">
        <v>1100</v>
      </c>
      <c r="D3" s="10" t="s">
        <v>7</v>
      </c>
    </row>
    <row r="4" spans="1:5" ht="45" x14ac:dyDescent="0.3">
      <c r="A4" s="7" t="s">
        <v>8</v>
      </c>
      <c r="B4" s="8" t="s">
        <v>5</v>
      </c>
      <c r="C4" s="9">
        <v>120</v>
      </c>
      <c r="D4" s="10" t="s">
        <v>9</v>
      </c>
    </row>
    <row r="5" spans="1:5" ht="45" x14ac:dyDescent="0.3">
      <c r="A5" s="3" t="s">
        <v>10</v>
      </c>
      <c r="B5" s="5" t="s">
        <v>5</v>
      </c>
      <c r="C5" s="4">
        <v>250</v>
      </c>
      <c r="D5" s="6" t="s">
        <v>11</v>
      </c>
      <c r="E5" s="12"/>
    </row>
    <row r="6" spans="1:5" ht="30" x14ac:dyDescent="0.3">
      <c r="A6" s="7" t="s">
        <v>12</v>
      </c>
      <c r="B6" s="8" t="s">
        <v>5</v>
      </c>
      <c r="C6" s="9">
        <v>40</v>
      </c>
      <c r="D6" s="10" t="s">
        <v>13</v>
      </c>
    </row>
    <row r="7" spans="1:5" ht="30" x14ac:dyDescent="0.3">
      <c r="A7" s="3" t="s">
        <v>14</v>
      </c>
      <c r="B7" s="5" t="s">
        <v>5</v>
      </c>
      <c r="C7" s="4">
        <v>60</v>
      </c>
      <c r="D7" s="6" t="s">
        <v>15</v>
      </c>
    </row>
    <row r="8" spans="1:5" ht="30" x14ac:dyDescent="0.3">
      <c r="A8" s="7" t="s">
        <v>16</v>
      </c>
      <c r="B8" s="8" t="s">
        <v>5</v>
      </c>
      <c r="C8" s="9">
        <v>100</v>
      </c>
      <c r="D8" s="10" t="s">
        <v>17</v>
      </c>
    </row>
    <row r="9" spans="1:5" ht="28.8" x14ac:dyDescent="0.3">
      <c r="A9" s="7" t="s">
        <v>18</v>
      </c>
      <c r="B9" s="8"/>
      <c r="C9" s="9">
        <v>200</v>
      </c>
      <c r="D9" s="11" t="s">
        <v>19</v>
      </c>
    </row>
    <row r="10" spans="1:5" ht="43.2" x14ac:dyDescent="0.3">
      <c r="A10" s="7" t="s">
        <v>20</v>
      </c>
      <c r="B10" s="8"/>
      <c r="C10" s="9">
        <v>0</v>
      </c>
      <c r="D10" s="11" t="s">
        <v>21</v>
      </c>
    </row>
    <row r="11" spans="1:5" ht="28.8" x14ac:dyDescent="0.3">
      <c r="A11" s="7" t="s">
        <v>22</v>
      </c>
      <c r="B11" s="8"/>
      <c r="C11" s="9">
        <v>0</v>
      </c>
      <c r="D11" s="11" t="s">
        <v>23</v>
      </c>
    </row>
    <row r="12" spans="1:5" ht="57.6" x14ac:dyDescent="0.3">
      <c r="A12" s="7" t="s">
        <v>25</v>
      </c>
      <c r="B12" s="8"/>
      <c r="C12" s="9">
        <f>5*50</f>
        <v>250</v>
      </c>
      <c r="D12" s="11" t="s">
        <v>28</v>
      </c>
    </row>
    <row r="13" spans="1:5" ht="72" x14ac:dyDescent="0.3">
      <c r="A13" s="7" t="s">
        <v>26</v>
      </c>
      <c r="B13" s="8"/>
      <c r="C13" s="9">
        <f>3*50</f>
        <v>150</v>
      </c>
      <c r="D13" s="11" t="s">
        <v>29</v>
      </c>
    </row>
    <row r="14" spans="1:5" ht="30" x14ac:dyDescent="0.3">
      <c r="A14" s="7" t="s">
        <v>27</v>
      </c>
      <c r="B14" s="8"/>
      <c r="C14" s="9">
        <f>8*10</f>
        <v>80</v>
      </c>
      <c r="D14" s="11" t="s">
        <v>30</v>
      </c>
    </row>
    <row r="15" spans="1:5" ht="72" x14ac:dyDescent="0.3">
      <c r="A15" s="7" t="s">
        <v>31</v>
      </c>
      <c r="B15" s="8"/>
      <c r="C15" s="9">
        <f>3*50</f>
        <v>150</v>
      </c>
      <c r="D15" s="13" t="s">
        <v>32</v>
      </c>
    </row>
    <row r="16" spans="1:5" ht="15" x14ac:dyDescent="0.3">
      <c r="A16" s="7" t="s">
        <v>33</v>
      </c>
      <c r="C16" s="9">
        <f>2*50</f>
        <v>100</v>
      </c>
      <c r="D16" s="14" t="s">
        <v>34</v>
      </c>
    </row>
    <row r="17" spans="2:3" ht="15" x14ac:dyDescent="0.3">
      <c r="B17" s="9">
        <f>SUM(B2:B16)</f>
        <v>1500</v>
      </c>
      <c r="C17" s="9">
        <f>SUM(C2:C16)</f>
        <v>2600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A7E04-4F3C-413A-B04E-396AD9A6E0C7}">
  <dimension ref="A1:E63"/>
  <sheetViews>
    <sheetView tabSelected="1" zoomScale="70" zoomScaleNormal="70" workbookViewId="0">
      <selection activeCell="I13" sqref="I13"/>
    </sheetView>
  </sheetViews>
  <sheetFormatPr defaultRowHeight="14.4" x14ac:dyDescent="0.3"/>
  <cols>
    <col min="1" max="1" width="45.33203125" customWidth="1"/>
    <col min="2" max="2" width="14.109375" customWidth="1"/>
    <col min="3" max="3" width="19.21875" bestFit="1" customWidth="1"/>
    <col min="4" max="4" width="31.5546875" customWidth="1"/>
  </cols>
  <sheetData>
    <row r="1" spans="1:5" ht="30" x14ac:dyDescent="0.3">
      <c r="A1" s="16" t="s">
        <v>0</v>
      </c>
      <c r="B1" s="17" t="s">
        <v>1</v>
      </c>
      <c r="C1" s="17" t="s">
        <v>2</v>
      </c>
      <c r="D1" s="16" t="s">
        <v>3</v>
      </c>
    </row>
    <row r="2" spans="1:5" ht="30" x14ac:dyDescent="0.3">
      <c r="A2" s="18" t="s">
        <v>4</v>
      </c>
      <c r="B2" s="19">
        <v>1500</v>
      </c>
      <c r="C2" s="20" t="s">
        <v>5</v>
      </c>
      <c r="D2" s="21" t="s">
        <v>6</v>
      </c>
    </row>
    <row r="3" spans="1:5" ht="45" x14ac:dyDescent="0.3">
      <c r="A3" s="18" t="s">
        <v>24</v>
      </c>
      <c r="B3" s="19"/>
      <c r="C3" s="19">
        <v>700</v>
      </c>
      <c r="D3" s="21" t="s">
        <v>7</v>
      </c>
    </row>
    <row r="4" spans="1:5" ht="30" x14ac:dyDescent="0.3">
      <c r="A4" s="18" t="s">
        <v>8</v>
      </c>
      <c r="B4" s="20" t="s">
        <v>5</v>
      </c>
      <c r="C4" s="19">
        <v>20</v>
      </c>
      <c r="D4" s="21" t="s">
        <v>9</v>
      </c>
    </row>
    <row r="5" spans="1:5" ht="30" x14ac:dyDescent="0.3">
      <c r="A5" s="18" t="s">
        <v>10</v>
      </c>
      <c r="B5" s="20" t="s">
        <v>5</v>
      </c>
      <c r="C5" s="19">
        <v>150</v>
      </c>
      <c r="D5" s="21" t="s">
        <v>11</v>
      </c>
      <c r="E5" s="15"/>
    </row>
    <row r="6" spans="1:5" ht="30" x14ac:dyDescent="0.3">
      <c r="A6" s="18" t="s">
        <v>12</v>
      </c>
      <c r="B6" s="20" t="s">
        <v>5</v>
      </c>
      <c r="C6" s="19">
        <v>30</v>
      </c>
      <c r="D6" s="21" t="s">
        <v>13</v>
      </c>
    </row>
    <row r="7" spans="1:5" ht="30" x14ac:dyDescent="0.3">
      <c r="A7" s="18" t="s">
        <v>14</v>
      </c>
      <c r="B7" s="20" t="s">
        <v>5</v>
      </c>
      <c r="C7" s="19">
        <v>60</v>
      </c>
      <c r="D7" s="21" t="s">
        <v>15</v>
      </c>
    </row>
    <row r="8" spans="1:5" ht="15" x14ac:dyDescent="0.3">
      <c r="A8" s="18" t="s">
        <v>16</v>
      </c>
      <c r="B8" s="20" t="s">
        <v>5</v>
      </c>
      <c r="C8" s="19">
        <v>30</v>
      </c>
      <c r="D8" s="21" t="s">
        <v>17</v>
      </c>
    </row>
    <row r="9" spans="1:5" ht="28.8" x14ac:dyDescent="0.3">
      <c r="A9" s="18" t="s">
        <v>18</v>
      </c>
      <c r="B9" s="20"/>
      <c r="C9" s="19">
        <v>80</v>
      </c>
      <c r="D9" s="22" t="s">
        <v>19</v>
      </c>
    </row>
    <row r="10" spans="1:5" ht="28.8" x14ac:dyDescent="0.3">
      <c r="A10" s="18" t="s">
        <v>20</v>
      </c>
      <c r="B10" s="20"/>
      <c r="C10" s="19">
        <v>0</v>
      </c>
      <c r="D10" s="22" t="s">
        <v>21</v>
      </c>
    </row>
    <row r="11" spans="1:5" ht="15" x14ac:dyDescent="0.3">
      <c r="A11" s="18" t="s">
        <v>22</v>
      </c>
      <c r="B11" s="20"/>
      <c r="C11" s="19">
        <v>0</v>
      </c>
      <c r="D11" s="22" t="s">
        <v>23</v>
      </c>
    </row>
    <row r="12" spans="1:5" ht="43.2" x14ac:dyDescent="0.3">
      <c r="A12" s="18" t="s">
        <v>25</v>
      </c>
      <c r="B12" s="20"/>
      <c r="C12" s="19">
        <v>50</v>
      </c>
      <c r="D12" s="22" t="s">
        <v>28</v>
      </c>
    </row>
    <row r="13" spans="1:5" ht="57.6" x14ac:dyDescent="0.3">
      <c r="A13" s="18" t="s">
        <v>26</v>
      </c>
      <c r="B13" s="20"/>
      <c r="C13" s="19">
        <v>150</v>
      </c>
      <c r="D13" s="22" t="s">
        <v>29</v>
      </c>
    </row>
    <row r="14" spans="1:5" ht="28.8" x14ac:dyDescent="0.3">
      <c r="A14" s="18" t="s">
        <v>27</v>
      </c>
      <c r="B14" s="20"/>
      <c r="C14" s="19">
        <v>50</v>
      </c>
      <c r="D14" s="22" t="s">
        <v>30</v>
      </c>
    </row>
    <row r="15" spans="1:5" ht="43.2" x14ac:dyDescent="0.3">
      <c r="A15" s="18" t="s">
        <v>31</v>
      </c>
      <c r="B15" s="20"/>
      <c r="C15" s="19">
        <v>50</v>
      </c>
      <c r="D15" s="23" t="s">
        <v>32</v>
      </c>
    </row>
    <row r="16" spans="1:5" ht="28.8" x14ac:dyDescent="0.3">
      <c r="A16" s="18" t="s">
        <v>33</v>
      </c>
      <c r="B16" s="24"/>
      <c r="C16" s="19">
        <v>50</v>
      </c>
      <c r="D16" s="23" t="s">
        <v>34</v>
      </c>
    </row>
    <row r="17" spans="1:4" ht="15" x14ac:dyDescent="0.3">
      <c r="A17" s="24"/>
      <c r="B17" s="25">
        <f>SUM(B2:B16)</f>
        <v>1500</v>
      </c>
      <c r="C17" s="25">
        <f>SUM(C2:C16)</f>
        <v>1420</v>
      </c>
      <c r="D17" s="24"/>
    </row>
    <row r="23" spans="1:4" x14ac:dyDescent="0.3">
      <c r="A23" t="s">
        <v>35</v>
      </c>
    </row>
    <row r="24" spans="1:4" x14ac:dyDescent="0.3">
      <c r="A24" t="s">
        <v>36</v>
      </c>
    </row>
    <row r="25" spans="1:4" x14ac:dyDescent="0.3">
      <c r="A25" t="s">
        <v>37</v>
      </c>
    </row>
    <row r="26" spans="1:4" x14ac:dyDescent="0.3">
      <c r="A26" t="s">
        <v>38</v>
      </c>
    </row>
    <row r="27" spans="1:4" x14ac:dyDescent="0.3">
      <c r="A27" t="s">
        <v>39</v>
      </c>
    </row>
    <row r="28" spans="1:4" x14ac:dyDescent="0.3">
      <c r="A28" t="s">
        <v>40</v>
      </c>
    </row>
    <row r="29" spans="1:4" x14ac:dyDescent="0.3">
      <c r="A29" t="s">
        <v>41</v>
      </c>
    </row>
    <row r="30" spans="1:4" x14ac:dyDescent="0.3">
      <c r="A30" t="s">
        <v>42</v>
      </c>
    </row>
    <row r="31" spans="1:4" x14ac:dyDescent="0.3">
      <c r="A31" t="s">
        <v>43</v>
      </c>
    </row>
    <row r="32" spans="1:4" x14ac:dyDescent="0.3">
      <c r="A32" t="s">
        <v>44</v>
      </c>
    </row>
    <row r="33" spans="1:1" x14ac:dyDescent="0.3">
      <c r="A33" t="s">
        <v>41</v>
      </c>
    </row>
    <row r="34" spans="1:1" x14ac:dyDescent="0.3">
      <c r="A34" t="s">
        <v>45</v>
      </c>
    </row>
    <row r="35" spans="1:1" x14ac:dyDescent="0.3">
      <c r="A35" t="s">
        <v>46</v>
      </c>
    </row>
    <row r="36" spans="1:1" x14ac:dyDescent="0.3">
      <c r="A36" t="s">
        <v>47</v>
      </c>
    </row>
    <row r="37" spans="1:1" x14ac:dyDescent="0.3">
      <c r="A37" t="s">
        <v>48</v>
      </c>
    </row>
    <row r="38" spans="1:1" x14ac:dyDescent="0.3">
      <c r="A38" t="s">
        <v>49</v>
      </c>
    </row>
    <row r="39" spans="1:1" x14ac:dyDescent="0.3">
      <c r="A39" t="s">
        <v>50</v>
      </c>
    </row>
    <row r="40" spans="1:1" x14ac:dyDescent="0.3">
      <c r="A40" t="s">
        <v>51</v>
      </c>
    </row>
    <row r="41" spans="1:1" x14ac:dyDescent="0.3">
      <c r="A41" t="s">
        <v>52</v>
      </c>
    </row>
    <row r="42" spans="1:1" x14ac:dyDescent="0.3">
      <c r="A42" t="s">
        <v>53</v>
      </c>
    </row>
    <row r="43" spans="1:1" x14ac:dyDescent="0.3">
      <c r="A43" t="s">
        <v>54</v>
      </c>
    </row>
    <row r="44" spans="1:1" x14ac:dyDescent="0.3">
      <c r="A44" t="s">
        <v>55</v>
      </c>
    </row>
    <row r="45" spans="1:1" x14ac:dyDescent="0.3">
      <c r="A45" t="s">
        <v>56</v>
      </c>
    </row>
    <row r="46" spans="1:1" x14ac:dyDescent="0.3">
      <c r="A46" t="s">
        <v>57</v>
      </c>
    </row>
    <row r="47" spans="1:1" x14ac:dyDescent="0.3">
      <c r="A47" t="s">
        <v>58</v>
      </c>
    </row>
    <row r="48" spans="1:1" x14ac:dyDescent="0.3">
      <c r="A48" t="s">
        <v>59</v>
      </c>
    </row>
    <row r="49" spans="1:1" x14ac:dyDescent="0.3">
      <c r="A49" t="s">
        <v>60</v>
      </c>
    </row>
    <row r="50" spans="1:1" x14ac:dyDescent="0.3">
      <c r="A50" t="s">
        <v>61</v>
      </c>
    </row>
    <row r="51" spans="1:1" x14ac:dyDescent="0.3">
      <c r="A51" t="s">
        <v>62</v>
      </c>
    </row>
    <row r="52" spans="1:1" x14ac:dyDescent="0.3">
      <c r="A52" t="s">
        <v>63</v>
      </c>
    </row>
    <row r="53" spans="1:1" x14ac:dyDescent="0.3">
      <c r="A53" t="s">
        <v>64</v>
      </c>
    </row>
    <row r="54" spans="1:1" x14ac:dyDescent="0.3">
      <c r="A54" t="s">
        <v>65</v>
      </c>
    </row>
    <row r="55" spans="1:1" x14ac:dyDescent="0.3">
      <c r="A55" t="s">
        <v>66</v>
      </c>
    </row>
    <row r="56" spans="1:1" x14ac:dyDescent="0.3">
      <c r="A56" t="s">
        <v>67</v>
      </c>
    </row>
    <row r="57" spans="1:1" x14ac:dyDescent="0.3">
      <c r="A57" t="s">
        <v>68</v>
      </c>
    </row>
    <row r="58" spans="1:1" x14ac:dyDescent="0.3">
      <c r="A58" t="s">
        <v>69</v>
      </c>
    </row>
    <row r="59" spans="1:1" x14ac:dyDescent="0.3">
      <c r="A59" t="s">
        <v>70</v>
      </c>
    </row>
    <row r="60" spans="1:1" x14ac:dyDescent="0.3">
      <c r="A60" t="s">
        <v>41</v>
      </c>
    </row>
    <row r="61" spans="1:1" x14ac:dyDescent="0.3">
      <c r="A61" t="s">
        <v>71</v>
      </c>
    </row>
    <row r="62" spans="1:1" x14ac:dyDescent="0.3">
      <c r="A62" t="s">
        <v>72</v>
      </c>
    </row>
    <row r="63" spans="1:1" x14ac:dyDescent="0.3">
      <c r="A63" t="s">
        <v>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1500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Anahit Gulyan</dc:creator>
  <cp:lastModifiedBy>Anahit Gulyan</cp:lastModifiedBy>
  <dcterms:created xsi:type="dcterms:W3CDTF">2025-11-04T11:42:47Z</dcterms:created>
  <dcterms:modified xsi:type="dcterms:W3CDTF">2025-11-04T14:05:12Z</dcterms:modified>
</cp:coreProperties>
</file>